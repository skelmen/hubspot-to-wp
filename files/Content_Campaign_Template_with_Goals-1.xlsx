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408"/>
  <workbookPr/>
  <mc:AlternateContent xmlns:mc="http://schemas.openxmlformats.org/markup-compatibility/2006">
    <mc:Choice Requires="x15">
      <x15ac:absPath xmlns:x15ac="http://schemas.microsoft.com/office/spreadsheetml/2010/11/ac" url="/Users/tstolzenberg/Desktop/"/>
    </mc:Choice>
  </mc:AlternateContent>
  <bookViews>
    <workbookView xWindow="0" yWindow="460" windowWidth="28800" windowHeight="15940" tabRatio="500"/>
  </bookViews>
  <sheets>
    <sheet name="Create your campaign" sheetId="1" r:id="rId1"/>
    <sheet name="Goals" sheetId="2" r:id="rId2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0" i="2" l="1"/>
  <c r="F40" i="2"/>
  <c r="F39" i="2"/>
  <c r="E36" i="2"/>
  <c r="F36" i="2"/>
  <c r="F35" i="2"/>
  <c r="D32" i="2"/>
</calcChain>
</file>

<file path=xl/comments1.xml><?xml version="1.0" encoding="utf-8"?>
<comments xmlns="http://schemas.openxmlformats.org/spreadsheetml/2006/main">
  <authors>
    <author/>
  </authors>
  <commentList>
    <comment ref="A34" authorId="0">
      <text>
        <r>
          <rPr>
            <sz val="11"/>
            <color rgb="FF000000"/>
            <rFont val="Calibri"/>
          </rPr>
          <t xml:space="preserve">Noemie Aguettant:
Prospect is experiencing and expressing symptoms of a problem or opportunity. Is doing educational research to more clearly understand, frame and give a name to their problem. </t>
        </r>
      </text>
    </comment>
    <comment ref="A43" authorId="0">
      <text>
        <r>
          <rPr>
            <sz val="11"/>
            <color rgb="FF000000"/>
            <rFont val="Calibri"/>
          </rPr>
          <t xml:space="preserve">Noemie Aguettant:
Prospect has now clearly defined and given a name to their problem or opportunity. Is commited to researching and understanding all of the available approaches and/or methods to solving the defined problem or opportunity. </t>
        </r>
      </text>
    </comment>
    <comment ref="A52" authorId="0">
      <text>
        <r>
          <rPr>
            <sz val="11"/>
            <color rgb="FF000000"/>
            <rFont val="Calibri"/>
          </rPr>
          <t>Noemie Aguettant:
Prospect has now decided on their solution strategy, method, or approach. Is compling a long list  of all the vendors and products in their given solution strategy. Is researching to whittle the long list down to a short list and ultimately  make the final purchase decision. 
e.i:</t>
        </r>
      </text>
    </comment>
  </commentList>
</comments>
</file>

<file path=xl/sharedStrings.xml><?xml version="1.0" encoding="utf-8"?>
<sst xmlns="http://schemas.openxmlformats.org/spreadsheetml/2006/main" count="89" uniqueCount="74">
  <si>
    <t>Use The Following To Help You Create a Highly Targerted Campaign</t>
  </si>
  <si>
    <t>Step 1: Choose the Buyer Persona for your campaign</t>
  </si>
  <si>
    <t xml:space="preserve">1. Make sure that you have defined your Buyer Persona. Their objectives and challenges will be critical to define your campaign. </t>
  </si>
  <si>
    <t>2. If you have not created your Buyer Persona ---&gt; Start here: http://makemypersona.com/</t>
  </si>
  <si>
    <t>3. Pick a Buyer Persona you are going to target during this campaign and add it to the template below</t>
  </si>
  <si>
    <t>Step 2: Select the Buyer's journey stage</t>
  </si>
  <si>
    <t>1. Focus on one of the three stages for this campaign (TOFU / MOFU / BOFU)</t>
  </si>
  <si>
    <t>Step 3: Define an offer for your Persona and stage of the buyer's journey</t>
  </si>
  <si>
    <t>1. Define format for the offer (ebook, checklist, etc.)</t>
  </si>
  <si>
    <t>2. Select a topic based on your Persona strongest pain points and goals</t>
  </si>
  <si>
    <t>Step 4: Brainstorm long-tail keywords ideas</t>
  </si>
  <si>
    <t>1. Brainstorm long-tail keywords for your offer title</t>
  </si>
  <si>
    <t xml:space="preserve">2. Brainstorm 5 long-tail keywords based on the concepts / chapters of the content offer </t>
  </si>
  <si>
    <t>Step 5: Validate keywords</t>
  </si>
  <si>
    <t>1. Copy the brainstormed keywords and add them to the Keyword Tool</t>
  </si>
  <si>
    <t>&lt;-- In your HubSpot Account, Go to:  Content &gt; Keywords &gt; Add Keywords</t>
  </si>
  <si>
    <t>2. Validate that you have an opportunity to rank on the first page of Google. Start targeting keywords with a difficulty below 25</t>
  </si>
  <si>
    <t>3. If the difficulty of your keyword is to high, try a variation of your keyword or add more context</t>
  </si>
  <si>
    <t>4. Add final long-tail keywords with the difficulty score in the table below</t>
  </si>
  <si>
    <t>5. In the tool, tag your keywords to your campaign</t>
  </si>
  <si>
    <t>Step 6: Create blog articles around your offer</t>
  </si>
  <si>
    <t>1. Use your keyword to create an engaging blog title</t>
  </si>
  <si>
    <t>i.e: 10 ways to + long-tail keyword</t>
  </si>
  <si>
    <t>TOP OF THE FUNNEL</t>
  </si>
  <si>
    <t>Buyer Persona</t>
  </si>
  <si>
    <t>Offer Title</t>
  </si>
  <si>
    <t>Keyword for Blog Article</t>
  </si>
  <si>
    <t>Difficulty Score</t>
  </si>
  <si>
    <t>Blog Titles Using Keyword in Title</t>
  </si>
  <si>
    <t>MIDDLE OF THE FUNNEL</t>
  </si>
  <si>
    <t>Keyword for Blog Title</t>
  </si>
  <si>
    <t>BOTTOM OF THE FUNNEL</t>
  </si>
  <si>
    <t xml:space="preserve">2016 Marketing Goals, Challenges &amp; Timeline </t>
  </si>
  <si>
    <t>Remember to create SMART goals:</t>
  </si>
  <si>
    <t>Company</t>
  </si>
  <si>
    <t>divia gmbH</t>
  </si>
  <si>
    <t>Specific
Measurable
Attainable
Realistic
Timebound</t>
  </si>
  <si>
    <t>HubSpot ID</t>
  </si>
  <si>
    <t>Name</t>
  </si>
  <si>
    <t>divia</t>
  </si>
  <si>
    <t>Question 1</t>
  </si>
  <si>
    <t>What is your  primary marketing goal?</t>
  </si>
  <si>
    <t>To generate Leads and convert them into Customer</t>
  </si>
  <si>
    <t>Question 2</t>
  </si>
  <si>
    <t>Which situation best summarizes your marketing needs? (dropdown menu)</t>
  </si>
  <si>
    <t>We need more visitors to convert into leads</t>
  </si>
  <si>
    <t>Question 3</t>
  </si>
  <si>
    <t>Based on your answer above, set a specific number for an upcoming goal.  Examples: 200,000 monthly visits, average 30 leads per month</t>
  </si>
  <si>
    <t>Average Visits: 2.000
average Leads 30</t>
  </si>
  <si>
    <t>(If you are unsure on question 3, please use ONLY ONE of the tables below to help formulate a goal)</t>
  </si>
  <si>
    <t>VISITS</t>
  </si>
  <si>
    <t>Number of monthly visits</t>
  </si>
  <si>
    <t>Current</t>
  </si>
  <si>
    <t>Recommended GOAL</t>
  </si>
  <si>
    <t>LEADS</t>
  </si>
  <si>
    <t>Visit / Lead conversion rate</t>
  </si>
  <si>
    <t>Number of leads</t>
  </si>
  <si>
    <t>N/A</t>
  </si>
  <si>
    <t>Customers</t>
  </si>
  <si>
    <t>Number of monthly leads</t>
  </si>
  <si>
    <t>Lead / Customer conversion rate</t>
  </si>
  <si>
    <t>Number of customers</t>
  </si>
  <si>
    <t>Question 4</t>
  </si>
  <si>
    <t>When would you like to reach the goal? (dropdown menu)</t>
  </si>
  <si>
    <t>In 2 Months</t>
  </si>
  <si>
    <t>Question 5</t>
  </si>
  <si>
    <t>How many hours per week can you dedicate to inbound marketing?  (dropdown menu)</t>
  </si>
  <si>
    <t>Blogging, email, content creation, etc.</t>
  </si>
  <si>
    <t>35 Hours per week</t>
  </si>
  <si>
    <t>Question 6</t>
  </si>
  <si>
    <t>What is the biggest marketing challenge that would stop you from reaching your goal?</t>
  </si>
  <si>
    <t xml:space="preserve">The biggeste challenge is to convert visitors into Leads and to convert them into Customer. </t>
  </si>
  <si>
    <t>© HubSpot, Inc</t>
  </si>
  <si>
    <t>3. If you need suggestions on keywords, there are some tools such as Google and http://answerthepublic.com/, https://serps.com/tools/keywords, http://keywordtool.io/, http://ubersuggest.org/, https://moz.com/blog/keyword-research-for-the-modern-customer-journey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</si>
</sst>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rgb="FF000000"/>
      <name val="Calibri"/>
    </font>
    <font>
      <b/>
      <i/>
      <sz val="18"/>
      <color rgb="FF000000"/>
      <name val="Calibri"/>
    </font>
    <font>
      <b/>
      <sz val="18"/>
      <color rgb="FFE36C09"/>
      <name val="Calibri"/>
    </font>
    <font>
      <b/>
      <sz val="11"/>
      <color rgb="FF000000"/>
      <name val="Calibri"/>
    </font>
    <font>
      <b/>
      <sz val="11"/>
      <color rgb="FFFF6600"/>
      <name val="Calibri"/>
    </font>
    <font>
      <sz val="11"/>
      <color rgb="FF222222"/>
      <name val="Arial"/>
    </font>
    <font>
      <b/>
      <sz val="36"/>
      <color rgb="FF000000"/>
      <name val="Calibri"/>
    </font>
    <font>
      <sz val="11"/>
      <name val="Calibri"/>
    </font>
    <font>
      <sz val="10"/>
      <color rgb="FF333333"/>
      <name val="Arial"/>
    </font>
    <font>
      <sz val="12"/>
      <color rgb="FF000000"/>
      <name val="Calibri"/>
    </font>
    <font>
      <b/>
      <i/>
      <sz val="12"/>
      <color rgb="FF000000"/>
      <name val="Calibri"/>
    </font>
    <font>
      <b/>
      <i/>
      <sz val="16"/>
      <color rgb="FF000000"/>
      <name val="Calibri"/>
    </font>
    <font>
      <sz val="11"/>
      <color rgb="FFFF0000"/>
      <name val="Calibri"/>
    </font>
    <font>
      <b/>
      <i/>
      <sz val="11"/>
      <color rgb="FF000000"/>
      <name val="Calibri"/>
    </font>
    <font>
      <b/>
      <sz val="14"/>
      <color rgb="FFFF0000"/>
      <name val="Calibri"/>
    </font>
    <font>
      <i/>
      <sz val="11"/>
      <color rgb="FF000000"/>
      <name val="Calibri"/>
    </font>
    <font>
      <b/>
      <sz val="11"/>
      <color rgb="FFFF0000"/>
      <name val="Calibri"/>
    </font>
    <font>
      <i/>
      <sz val="9"/>
      <color rgb="FF000000"/>
      <name val="Calibri"/>
    </font>
    <font>
      <b/>
      <sz val="18"/>
      <color rgb="FF222222"/>
      <name val="Arial"/>
    </font>
  </fonts>
  <fills count="9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3" borderId="0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0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5" fillId="3" borderId="0" xfId="0" applyFont="1" applyFill="1" applyAlignment="1"/>
    <xf numFmtId="0" fontId="5" fillId="0" borderId="0" xfId="0" applyFont="1" applyAlignment="1"/>
    <xf numFmtId="0" fontId="8" fillId="0" borderId="0" xfId="0" applyFont="1" applyAlignment="1">
      <alignment horizontal="left" vertical="center" wrapText="1"/>
    </xf>
    <xf numFmtId="0" fontId="10" fillId="3" borderId="1" xfId="0" applyFont="1" applyFill="1" applyBorder="1"/>
    <xf numFmtId="0" fontId="12" fillId="0" borderId="0" xfId="0" applyFont="1"/>
    <xf numFmtId="0" fontId="0" fillId="3" borderId="0" xfId="0" applyFont="1" applyFill="1" applyBorder="1" applyAlignment="1">
      <alignment vertical="top"/>
    </xf>
    <xf numFmtId="0" fontId="0" fillId="3" borderId="0" xfId="0" applyFont="1" applyFill="1" applyBorder="1" applyAlignment="1">
      <alignment vertical="center"/>
    </xf>
    <xf numFmtId="0" fontId="13" fillId="3" borderId="0" xfId="0" applyFont="1" applyFill="1" applyBorder="1"/>
    <xf numFmtId="0" fontId="12" fillId="3" borderId="0" xfId="0" applyFont="1" applyFill="1" applyBorder="1"/>
    <xf numFmtId="0" fontId="15" fillId="3" borderId="0" xfId="0" applyFont="1" applyFill="1" applyBorder="1"/>
    <xf numFmtId="0" fontId="16" fillId="3" borderId="0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5" fillId="3" borderId="1" xfId="0" applyFont="1" applyFill="1" applyBorder="1"/>
    <xf numFmtId="0" fontId="0" fillId="3" borderId="1" xfId="0" applyFont="1" applyFill="1" applyBorder="1"/>
    <xf numFmtId="0" fontId="0" fillId="7" borderId="1" xfId="0" applyFont="1" applyFill="1" applyBorder="1"/>
    <xf numFmtId="0" fontId="16" fillId="3" borderId="1" xfId="0" applyFont="1" applyFill="1" applyBorder="1"/>
    <xf numFmtId="1" fontId="16" fillId="3" borderId="1" xfId="0" applyNumberFormat="1" applyFont="1" applyFill="1" applyBorder="1"/>
    <xf numFmtId="10" fontId="0" fillId="7" borderId="1" xfId="0" applyNumberFormat="1" applyFont="1" applyFill="1" applyBorder="1"/>
    <xf numFmtId="0" fontId="16" fillId="3" borderId="1" xfId="0" applyFont="1" applyFill="1" applyBorder="1" applyAlignment="1">
      <alignment horizontal="center"/>
    </xf>
    <xf numFmtId="10" fontId="16" fillId="3" borderId="1" xfId="0" applyNumberFormat="1" applyFont="1" applyFill="1" applyBorder="1"/>
    <xf numFmtId="0" fontId="17" fillId="3" borderId="0" xfId="0" applyFont="1" applyFill="1" applyBorder="1"/>
    <xf numFmtId="0" fontId="13" fillId="3" borderId="0" xfId="0" applyFont="1" applyFill="1" applyBorder="1" applyAlignment="1">
      <alignment horizontal="center"/>
    </xf>
    <xf numFmtId="2" fontId="0" fillId="3" borderId="0" xfId="0" applyNumberFormat="1" applyFont="1" applyFill="1" applyBorder="1"/>
    <xf numFmtId="0" fontId="18" fillId="0" borderId="0" xfId="0" applyFont="1"/>
    <xf numFmtId="0" fontId="14" fillId="8" borderId="3" xfId="0" applyFont="1" applyFill="1" applyBorder="1" applyAlignment="1">
      <alignment horizontal="center"/>
    </xf>
    <xf numFmtId="0" fontId="7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0" fillId="7" borderId="3" xfId="0" applyFont="1" applyFill="1" applyBorder="1" applyAlignment="1">
      <alignment horizontal="center" vertical="top" wrapText="1"/>
    </xf>
    <xf numFmtId="0" fontId="7" fillId="0" borderId="4" xfId="0" applyFont="1" applyBorder="1"/>
    <xf numFmtId="0" fontId="7" fillId="0" borderId="6" xfId="0" applyFont="1" applyBorder="1"/>
    <xf numFmtId="0" fontId="0" fillId="0" borderId="0" xfId="0" applyFont="1" applyAlignment="1"/>
    <xf numFmtId="0" fontId="7" fillId="0" borderId="7" xfId="0" applyFont="1" applyBorder="1"/>
    <xf numFmtId="0" fontId="7" fillId="0" borderId="11" xfId="0" applyFont="1" applyBorder="1"/>
    <xf numFmtId="0" fontId="13" fillId="3" borderId="0" xfId="0" applyFont="1" applyFill="1" applyBorder="1" applyAlignment="1">
      <alignment horizontal="left"/>
    </xf>
    <xf numFmtId="0" fontId="7" fillId="0" borderId="0" xfId="0" applyFont="1" applyBorder="1"/>
    <xf numFmtId="0" fontId="17" fillId="3" borderId="11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7" fillId="0" borderId="8" xfId="0" applyFont="1" applyBorder="1"/>
    <xf numFmtId="0" fontId="13" fillId="3" borderId="0" xfId="0" applyFont="1" applyFill="1" applyBorder="1" applyAlignment="1">
      <alignment horizontal="left" wrapText="1"/>
    </xf>
    <xf numFmtId="0" fontId="9" fillId="7" borderId="3" xfId="0" applyFont="1" applyFill="1" applyBorder="1" applyAlignment="1">
      <alignment horizontal="left"/>
    </xf>
    <xf numFmtId="0" fontId="0" fillId="7" borderId="3" xfId="0" applyFont="1" applyFill="1" applyBorder="1" applyAlignment="1">
      <alignment horizontal="left" vertical="top" wrapText="1"/>
    </xf>
    <xf numFmtId="0" fontId="14" fillId="8" borderId="3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left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85725</xdr:rowOff>
    </xdr:from>
    <xdr:to>
      <xdr:col>2</xdr:col>
      <xdr:colOff>0</xdr:colOff>
      <xdr:row>2</xdr:row>
      <xdr:rowOff>47625</xdr:rowOff>
    </xdr:to>
    <xdr:sp macro="" textlink="">
      <xdr:nvSpPr>
        <xdr:cNvPr id="3" name="Shape 3"/>
        <xdr:cNvSpPr txBox="1"/>
      </xdr:nvSpPr>
      <xdr:spPr>
        <a:xfrm>
          <a:off x="2721863" y="3560925"/>
          <a:ext cx="5248275" cy="438150"/>
        </a:xfrm>
        <a:prstGeom prst="rect">
          <a:avLst/>
        </a:prstGeom>
        <a:solidFill>
          <a:srgbClr val="B6DDE7"/>
        </a:solidFill>
        <a:ln w="9525" cap="flat" cmpd="sng">
          <a:solidFill>
            <a:srgbClr val="4F6128"/>
          </a:solidFill>
          <a:prstDash val="solid"/>
          <a:round/>
          <a:headEnd type="none" w="med" len="med"/>
          <a:tailEnd type="none" w="med" len="med"/>
        </a:ln>
      </xdr:spPr>
      <xdr:txBody>
        <a:bodyPr lIns="91425" tIns="45700" rIns="91425" bIns="45700" anchor="t" anchorCtr="0">
          <a:noAutofit/>
        </a:bodyPr>
        <a:lstStyle/>
        <a:p>
          <a:pPr lvl="0" indent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ct val="25000"/>
            <a:buFont typeface="Calibri"/>
            <a:buNone/>
          </a:pPr>
          <a:r>
            <a:rPr lang="en-US" sz="20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Campaign creation - Template</a:t>
          </a:r>
        </a:p>
        <a:p>
          <a:pPr lvl="0" indent="0" algn="l">
            <a:spcBef>
              <a:spcPts val="0"/>
            </a:spcBef>
            <a:buFont typeface="Arial"/>
            <a:buNone/>
          </a:pPr>
          <a:endParaRPr sz="2000" b="1"/>
        </a:p>
      </xdr:txBody>
    </xdr:sp>
    <xdr:clientData fLocksWithSheet="0"/>
  </xdr:twoCellAnchor>
  <xdr:twoCellAnchor>
    <xdr:from>
      <xdr:col>3</xdr:col>
      <xdr:colOff>63500</xdr:colOff>
      <xdr:row>3</xdr:row>
      <xdr:rowOff>177800</xdr:rowOff>
    </xdr:from>
    <xdr:to>
      <xdr:col>7</xdr:col>
      <xdr:colOff>41275</xdr:colOff>
      <xdr:row>19</xdr:row>
      <xdr:rowOff>177800</xdr:rowOff>
    </xdr:to>
    <xdr:pic>
      <xdr:nvPicPr>
        <xdr:cNvPr id="2" name="image0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10600" y="838200"/>
          <a:ext cx="6188075" cy="3657600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4</xdr:col>
      <xdr:colOff>3302000</xdr:colOff>
      <xdr:row>58</xdr:row>
      <xdr:rowOff>177800</xdr:rowOff>
    </xdr:to>
    <xdr:sp macro="" textlink="">
      <xdr:nvSpPr>
        <xdr:cNvPr id="1027" name="Rectangle 3" hidden="1"/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</xdr:row>
      <xdr:rowOff>9525</xdr:rowOff>
    </xdr:from>
    <xdr:to>
      <xdr:col>4</xdr:col>
      <xdr:colOff>762000</xdr:colOff>
      <xdr:row>9</xdr:row>
      <xdr:rowOff>9525</xdr:rowOff>
    </xdr:to>
    <xdr:pic>
      <xdr:nvPicPr>
        <xdr:cNvPr id="2" name="image01.jpg" descr="http://www.hubspot.com/Portals/53/images/HubSpot_logo_255x588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14550" cy="9906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0"/>
  <sheetViews>
    <sheetView tabSelected="1" topLeftCell="A41" workbookViewId="0">
      <selection activeCell="D26" sqref="D26:D27"/>
    </sheetView>
  </sheetViews>
  <sheetFormatPr baseColWidth="10" defaultColWidth="15.1640625" defaultRowHeight="15" customHeight="1" x14ac:dyDescent="0.2"/>
  <cols>
    <col min="1" max="1" width="30.6640625" customWidth="1"/>
    <col min="2" max="2" width="38.1640625" customWidth="1"/>
    <col min="3" max="3" width="43.33203125" customWidth="1"/>
    <col min="4" max="4" width="11.1640625" customWidth="1"/>
    <col min="5" max="5" width="57" customWidth="1"/>
    <col min="6" max="14" width="6.6640625" customWidth="1"/>
    <col min="15" max="25" width="13.1640625" customWidth="1"/>
  </cols>
  <sheetData>
    <row r="1" spans="1:25" ht="23.25" customHeight="1" x14ac:dyDescent="0.3">
      <c r="A1" s="1"/>
      <c r="B1" s="1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 x14ac:dyDescent="0.2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3.25" customHeight="1" x14ac:dyDescent="0.3">
      <c r="A4" s="2" t="s">
        <v>0</v>
      </c>
      <c r="B4" s="2"/>
      <c r="C4" s="2"/>
      <c r="D4" s="2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s="2"/>
      <c r="B5" s="2"/>
      <c r="C5" s="2"/>
      <c r="D5" s="2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3.25" customHeight="1" x14ac:dyDescent="0.3">
      <c r="A6" s="4" t="s">
        <v>1</v>
      </c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 t="s">
        <v>2</v>
      </c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 t="s">
        <v>3</v>
      </c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 t="s">
        <v>4</v>
      </c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2"/>
      <c r="C10" s="2"/>
      <c r="D10" s="2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3.25" customHeight="1" x14ac:dyDescent="0.3">
      <c r="A11" s="4" t="s">
        <v>5</v>
      </c>
      <c r="B11" s="2"/>
      <c r="C11" s="2"/>
      <c r="D11" s="2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A12" s="2" t="s">
        <v>6</v>
      </c>
      <c r="B12" s="2"/>
      <c r="C12" s="2"/>
      <c r="D12" s="2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">
      <c r="A13" s="2"/>
      <c r="B13" s="2"/>
      <c r="C13" s="2"/>
      <c r="D13" s="2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3.25" customHeight="1" x14ac:dyDescent="0.3">
      <c r="A14" s="4" t="s">
        <v>7</v>
      </c>
      <c r="B14" s="2"/>
      <c r="C14" s="2"/>
      <c r="D14" s="2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3.25" customHeight="1" x14ac:dyDescent="0.3">
      <c r="A15" s="2" t="s">
        <v>8</v>
      </c>
      <c r="B15" s="2"/>
      <c r="C15" s="2"/>
      <c r="D15" s="2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3">
      <c r="A16" s="2" t="s">
        <v>9</v>
      </c>
      <c r="B16" s="2"/>
      <c r="C16" s="2"/>
      <c r="D16" s="2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2"/>
      <c r="B17" s="2"/>
      <c r="C17" s="2"/>
      <c r="D17" s="2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3.25" customHeight="1" x14ac:dyDescent="0.3">
      <c r="A18" s="4" t="s">
        <v>10</v>
      </c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2" t="s">
        <v>11</v>
      </c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">
      <c r="A20" s="2" t="s">
        <v>12</v>
      </c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6" customHeight="1" x14ac:dyDescent="0.2">
      <c r="A21" s="72" t="s">
        <v>73</v>
      </c>
      <c r="B21" s="72"/>
      <c r="C21" s="7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s="2"/>
      <c r="B22" s="2"/>
      <c r="C22" s="2"/>
      <c r="D22" s="2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3.25" customHeight="1" x14ac:dyDescent="0.3">
      <c r="A23" s="4" t="s">
        <v>13</v>
      </c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">
      <c r="A24" s="2" t="s">
        <v>14</v>
      </c>
      <c r="B24" s="2"/>
      <c r="C24" s="2" t="s">
        <v>15</v>
      </c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">
      <c r="A25" s="2" t="s">
        <v>16</v>
      </c>
      <c r="B25" s="2"/>
      <c r="C25" s="2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">
      <c r="A26" s="2" t="s">
        <v>17</v>
      </c>
      <c r="B26" s="2"/>
      <c r="C26" s="2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">
      <c r="A27" s="2" t="s">
        <v>18</v>
      </c>
      <c r="B27" s="2"/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">
      <c r="A28" s="2" t="s">
        <v>19</v>
      </c>
      <c r="B28" s="2"/>
      <c r="C28" s="2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2"/>
      <c r="B29" s="2"/>
      <c r="C29" s="2"/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3.25" customHeight="1" x14ac:dyDescent="0.3">
      <c r="A30" s="4" t="s">
        <v>20</v>
      </c>
      <c r="B30" s="2"/>
      <c r="C30" s="2"/>
      <c r="D30" s="2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2" t="s">
        <v>21</v>
      </c>
      <c r="B31" s="2"/>
      <c r="C31" s="2"/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">
      <c r="A32" s="2" t="s">
        <v>22</v>
      </c>
      <c r="B32" s="2"/>
      <c r="C32" s="2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">
      <c r="A33" s="2"/>
      <c r="B33" s="2"/>
      <c r="C33" s="2"/>
      <c r="D33" s="2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">
      <c r="A34" s="5" t="s">
        <v>23</v>
      </c>
      <c r="B34" s="2"/>
      <c r="C34" s="2"/>
      <c r="D34" s="2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" customHeight="1" x14ac:dyDescent="0.2">
      <c r="A35" s="6" t="s">
        <v>24</v>
      </c>
      <c r="B35" s="6" t="s">
        <v>25</v>
      </c>
      <c r="C35" s="7" t="s">
        <v>26</v>
      </c>
      <c r="D35" s="8" t="s">
        <v>27</v>
      </c>
      <c r="E35" s="6" t="s">
        <v>28</v>
      </c>
      <c r="F35" s="2"/>
      <c r="G35" s="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">
      <c r="A36" s="10"/>
      <c r="B36" s="11"/>
      <c r="C36" s="12"/>
      <c r="D36" s="12"/>
      <c r="E36" s="12"/>
      <c r="F36" s="2"/>
      <c r="G36" s="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" customHeight="1" x14ac:dyDescent="0.2">
      <c r="A37" s="10"/>
      <c r="B37" s="10"/>
      <c r="C37" s="12"/>
      <c r="D37" s="10"/>
      <c r="E37" s="10"/>
      <c r="F37" s="2"/>
      <c r="G37" s="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">
      <c r="A38" s="10"/>
      <c r="B38" s="10"/>
      <c r="C38" s="10"/>
      <c r="D38" s="10"/>
      <c r="E38" s="10"/>
      <c r="F38" s="2"/>
      <c r="G38" s="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">
      <c r="A39" s="10"/>
      <c r="B39" s="10"/>
      <c r="C39" s="10"/>
      <c r="D39" s="10"/>
      <c r="E39" s="10"/>
      <c r="F39" s="2"/>
      <c r="G39" s="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">
      <c r="A40" s="10"/>
      <c r="B40" s="10"/>
      <c r="C40" s="12"/>
      <c r="D40" s="10"/>
      <c r="E40" s="12"/>
      <c r="F40" s="13"/>
      <c r="G40" s="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">
      <c r="A41" s="14"/>
      <c r="B41" s="14"/>
      <c r="C41" s="14"/>
      <c r="D41" s="14"/>
      <c r="E41" s="14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A42" s="14"/>
      <c r="B42" s="14"/>
      <c r="C42" s="14"/>
      <c r="D42" s="14"/>
      <c r="E42" s="14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A43" s="5" t="s">
        <v>29</v>
      </c>
      <c r="B43" s="2"/>
      <c r="C43" s="2"/>
      <c r="D43" s="2"/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30" customHeight="1" x14ac:dyDescent="0.2">
      <c r="A44" s="15" t="s">
        <v>24</v>
      </c>
      <c r="B44" s="16" t="s">
        <v>25</v>
      </c>
      <c r="C44" s="16" t="s">
        <v>30</v>
      </c>
      <c r="D44" s="17" t="s">
        <v>27</v>
      </c>
      <c r="E44" s="16" t="s">
        <v>28</v>
      </c>
      <c r="F44" s="2"/>
      <c r="G44" s="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A45" s="18"/>
      <c r="B45" s="19"/>
      <c r="C45" s="18"/>
      <c r="D45" s="18"/>
      <c r="E45" s="18"/>
      <c r="F45" s="2"/>
      <c r="G45" s="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A46" s="18"/>
      <c r="B46" s="18"/>
      <c r="C46" s="18"/>
      <c r="D46" s="18"/>
      <c r="E46" s="18"/>
      <c r="F46" s="2"/>
      <c r="G46" s="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A47" s="18"/>
      <c r="B47" s="18"/>
      <c r="C47" s="18"/>
      <c r="D47" s="18"/>
      <c r="E47" s="18"/>
      <c r="F47" s="2"/>
      <c r="G47" s="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A48" s="18"/>
      <c r="B48" s="18"/>
      <c r="C48" s="19"/>
      <c r="D48" s="18"/>
      <c r="E48" s="18"/>
      <c r="F48" s="2"/>
      <c r="G48" s="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">
      <c r="A49" s="18"/>
      <c r="B49" s="18"/>
      <c r="C49" s="18"/>
      <c r="D49" s="18"/>
      <c r="E49" s="18"/>
      <c r="F49" s="2"/>
      <c r="G49" s="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">
      <c r="A50" s="2"/>
      <c r="B50" s="14"/>
      <c r="C50" s="14"/>
      <c r="D50" s="14"/>
      <c r="E50" s="14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">
      <c r="A51" s="2"/>
      <c r="B51" s="14"/>
      <c r="C51" s="14"/>
      <c r="D51" s="14"/>
      <c r="E51" s="14"/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">
      <c r="A52" s="5" t="s">
        <v>31</v>
      </c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30" customHeight="1" x14ac:dyDescent="0.2">
      <c r="A53" s="20" t="s">
        <v>24</v>
      </c>
      <c r="B53" s="21" t="s">
        <v>25</v>
      </c>
      <c r="C53" s="21" t="s">
        <v>30</v>
      </c>
      <c r="D53" s="22" t="s">
        <v>27</v>
      </c>
      <c r="E53" s="21" t="s">
        <v>28</v>
      </c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">
      <c r="A54" s="23"/>
      <c r="B54" s="24"/>
      <c r="C54" s="24"/>
      <c r="D54" s="24"/>
      <c r="E54" s="24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">
      <c r="A55" s="23"/>
      <c r="B55" s="24"/>
      <c r="C55" s="24"/>
      <c r="D55" s="24"/>
      <c r="E55" s="24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">
      <c r="A56" s="23"/>
      <c r="B56" s="23"/>
      <c r="C56" s="24"/>
      <c r="D56" s="24"/>
      <c r="E56" s="24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">
      <c r="A57" s="23"/>
      <c r="B57" s="23"/>
      <c r="C57" s="23"/>
      <c r="D57" s="23"/>
      <c r="E57" s="23"/>
      <c r="F57" s="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">
      <c r="A58" s="23"/>
      <c r="B58" s="23"/>
      <c r="C58" s="23"/>
      <c r="D58" s="23"/>
      <c r="E58" s="23"/>
      <c r="F58" s="2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">
      <c r="A62" s="3"/>
      <c r="B62" s="3"/>
      <c r="C62" s="25"/>
      <c r="D62" s="3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">
      <c r="A63" s="3"/>
      <c r="B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">
      <c r="A64" s="2"/>
      <c r="B64" s="2"/>
      <c r="C64" s="26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">
    <mergeCell ref="A21:C2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5.1640625" defaultRowHeight="15" customHeight="1" x14ac:dyDescent="0.2"/>
  <cols>
    <col min="1" max="1" width="9.6640625" customWidth="1"/>
    <col min="2" max="2" width="5.1640625" customWidth="1"/>
    <col min="3" max="3" width="21" customWidth="1"/>
    <col min="4" max="4" width="21.1640625" customWidth="1"/>
    <col min="5" max="5" width="23.1640625" customWidth="1"/>
    <col min="6" max="6" width="14.6640625" customWidth="1"/>
    <col min="7" max="7" width="11.6640625" customWidth="1"/>
    <col min="8" max="8" width="8.6640625" customWidth="1"/>
    <col min="9" max="9" width="5.33203125" customWidth="1"/>
    <col min="10" max="10" width="9.5" customWidth="1"/>
    <col min="11" max="11" width="16.1640625" customWidth="1"/>
    <col min="12" max="16" width="6.6640625" customWidth="1"/>
    <col min="17" max="26" width="13.1640625" customWidth="1"/>
  </cols>
  <sheetData>
    <row r="1" spans="1:26" x14ac:dyDescent="0.2">
      <c r="A1" s="63" t="s">
        <v>32</v>
      </c>
      <c r="B1" s="54"/>
      <c r="C1" s="54"/>
      <c r="D1" s="54"/>
      <c r="E1" s="54"/>
      <c r="F1" s="54"/>
      <c r="G1" s="50"/>
      <c r="H1" s="9"/>
      <c r="I1" s="9"/>
      <c r="J1" s="9"/>
      <c r="K1" s="9"/>
      <c r="L1" s="9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55"/>
      <c r="B2" s="56"/>
      <c r="C2" s="56"/>
      <c r="D2" s="56"/>
      <c r="E2" s="56"/>
      <c r="F2" s="56"/>
      <c r="G2" s="57"/>
      <c r="H2" s="9"/>
      <c r="I2" s="9"/>
      <c r="J2" s="9"/>
      <c r="K2" s="9"/>
      <c r="L2" s="9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55"/>
      <c r="B3" s="56"/>
      <c r="C3" s="56"/>
      <c r="D3" s="56"/>
      <c r="E3" s="56"/>
      <c r="F3" s="56"/>
      <c r="G3" s="57"/>
      <c r="H3" s="9"/>
      <c r="I3" s="9"/>
      <c r="J3" s="9"/>
      <c r="K3" s="9"/>
      <c r="L3" s="9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55"/>
      <c r="B4" s="60"/>
      <c r="C4" s="60"/>
      <c r="D4" s="60"/>
      <c r="E4" s="60"/>
      <c r="F4" s="60"/>
      <c r="G4" s="57"/>
      <c r="H4" s="9"/>
      <c r="I4" s="9"/>
      <c r="J4" s="27"/>
      <c r="K4" s="9"/>
      <c r="L4" s="9"/>
      <c r="M4" s="2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9"/>
      <c r="B5" s="9"/>
      <c r="C5" s="9"/>
      <c r="D5" s="9"/>
      <c r="E5" s="9"/>
      <c r="F5" s="62" t="s">
        <v>33</v>
      </c>
      <c r="G5" s="57"/>
      <c r="H5" s="9"/>
      <c r="I5" s="9"/>
      <c r="J5" s="27"/>
      <c r="K5" s="9"/>
      <c r="L5" s="9"/>
      <c r="M5" s="2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28" t="s">
        <v>34</v>
      </c>
      <c r="B6" s="64" t="s">
        <v>35</v>
      </c>
      <c r="C6" s="65"/>
      <c r="D6" s="9"/>
      <c r="E6" s="9"/>
      <c r="F6" s="71" t="s">
        <v>36</v>
      </c>
      <c r="G6" s="57"/>
      <c r="H6" s="9"/>
      <c r="I6" s="9"/>
      <c r="J6" s="27"/>
      <c r="K6" s="9"/>
      <c r="L6" s="9"/>
      <c r="M6" s="2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28" t="s">
        <v>37</v>
      </c>
      <c r="B7" s="64">
        <v>427954</v>
      </c>
      <c r="C7" s="65"/>
      <c r="D7" s="9"/>
      <c r="E7" s="9"/>
      <c r="F7" s="55"/>
      <c r="G7" s="57"/>
      <c r="H7" s="9"/>
      <c r="I7" s="9"/>
      <c r="J7" s="27"/>
      <c r="K7" s="9"/>
      <c r="L7" s="9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28" t="s">
        <v>38</v>
      </c>
      <c r="B8" s="64" t="s">
        <v>39</v>
      </c>
      <c r="C8" s="65"/>
      <c r="D8" s="9"/>
      <c r="E8" s="9"/>
      <c r="F8" s="55"/>
      <c r="G8" s="57"/>
      <c r="H8" s="9"/>
      <c r="I8" s="9"/>
      <c r="J8" s="27"/>
      <c r="K8" s="9"/>
      <c r="L8" s="9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9"/>
      <c r="B9" s="9"/>
      <c r="C9" s="9"/>
      <c r="D9" s="9"/>
      <c r="E9" s="9"/>
      <c r="F9" s="55"/>
      <c r="G9" s="57"/>
      <c r="H9" s="9"/>
      <c r="I9" s="9"/>
      <c r="J9" s="9"/>
      <c r="K9" s="9"/>
      <c r="L9" s="9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9"/>
      <c r="B10" s="9"/>
      <c r="C10" s="9"/>
      <c r="D10" s="9"/>
      <c r="E10" s="9"/>
      <c r="F10" s="51"/>
      <c r="G10" s="52"/>
      <c r="H10" s="9"/>
      <c r="I10" s="9"/>
      <c r="J10" s="9"/>
      <c r="K10" s="9"/>
      <c r="L10" s="9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customHeight="1" x14ac:dyDescent="0.25">
      <c r="A11" s="70"/>
      <c r="B11" s="60"/>
      <c r="C11" s="60"/>
      <c r="D11" s="60"/>
      <c r="E11" s="9"/>
      <c r="F11" s="9"/>
      <c r="G11" s="9"/>
      <c r="H11" s="29"/>
      <c r="I11" s="29"/>
      <c r="J11" s="29"/>
      <c r="K11" s="29"/>
      <c r="L11" s="29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9" t="s">
        <v>40</v>
      </c>
      <c r="B13" s="59" t="s">
        <v>41</v>
      </c>
      <c r="C13" s="60"/>
      <c r="D13" s="60"/>
      <c r="E13" s="60"/>
      <c r="F13" s="9"/>
      <c r="G13" s="9"/>
      <c r="H13" s="9"/>
      <c r="I13" s="9"/>
      <c r="J13" s="9"/>
      <c r="K13" s="9"/>
      <c r="L13" s="9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9"/>
      <c r="B14" s="68" t="s">
        <v>42</v>
      </c>
      <c r="C14" s="54"/>
      <c r="D14" s="54"/>
      <c r="E14" s="50"/>
      <c r="F14" s="30"/>
      <c r="G14" s="9"/>
      <c r="H14" s="9"/>
      <c r="I14" s="9"/>
      <c r="J14" s="9"/>
      <c r="K14" s="9"/>
      <c r="L14" s="9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9"/>
      <c r="B15" s="55"/>
      <c r="C15" s="56"/>
      <c r="D15" s="56"/>
      <c r="E15" s="57"/>
      <c r="F15" s="30"/>
      <c r="G15" s="9"/>
      <c r="H15" s="9"/>
      <c r="I15" s="9"/>
      <c r="J15" s="9"/>
      <c r="K15" s="9"/>
      <c r="L15" s="9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9"/>
      <c r="B16" s="55"/>
      <c r="C16" s="56"/>
      <c r="D16" s="56"/>
      <c r="E16" s="57"/>
      <c r="F16" s="30"/>
      <c r="G16" s="9"/>
      <c r="H16" s="9"/>
      <c r="I16" s="9"/>
      <c r="J16" s="9"/>
      <c r="K16" s="9"/>
      <c r="L16" s="9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9"/>
      <c r="B17" s="51"/>
      <c r="C17" s="58"/>
      <c r="D17" s="58"/>
      <c r="E17" s="52"/>
      <c r="F17" s="30"/>
      <c r="G17" s="9"/>
      <c r="H17" s="9"/>
      <c r="I17" s="9"/>
      <c r="J17" s="9"/>
      <c r="K17" s="9"/>
      <c r="L17" s="9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9" t="s">
        <v>43</v>
      </c>
      <c r="B19" s="59" t="s">
        <v>44</v>
      </c>
      <c r="C19" s="60"/>
      <c r="D19" s="60"/>
      <c r="E19" s="60"/>
      <c r="F19" s="60"/>
      <c r="G19" s="60"/>
      <c r="H19" s="60"/>
      <c r="I19" s="9"/>
      <c r="J19" s="9"/>
      <c r="K19" s="9"/>
      <c r="L19" s="9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9"/>
      <c r="B20" s="69" t="s">
        <v>45</v>
      </c>
      <c r="C20" s="54"/>
      <c r="D20" s="50"/>
      <c r="E20" s="31"/>
      <c r="F20" s="31"/>
      <c r="G20" s="31"/>
      <c r="H20" s="9"/>
      <c r="I20" s="9"/>
      <c r="J20" s="9"/>
      <c r="K20" s="9"/>
      <c r="L20" s="9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 x14ac:dyDescent="0.2">
      <c r="A21" s="9"/>
      <c r="B21" s="51"/>
      <c r="C21" s="58"/>
      <c r="D21" s="52"/>
      <c r="E21" s="31"/>
      <c r="F21" s="31"/>
      <c r="G21" s="31"/>
      <c r="H21" s="9"/>
      <c r="I21" s="9"/>
      <c r="J21" s="9"/>
      <c r="K21" s="9"/>
      <c r="L21" s="9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2.25" customHeight="1" x14ac:dyDescent="0.2">
      <c r="A23" s="9" t="s">
        <v>46</v>
      </c>
      <c r="B23" s="66" t="s">
        <v>47</v>
      </c>
      <c r="C23" s="60"/>
      <c r="D23" s="60"/>
      <c r="E23" s="60"/>
      <c r="F23" s="60"/>
      <c r="G23" s="60"/>
      <c r="H23" s="32"/>
      <c r="I23" s="9"/>
      <c r="J23" s="9"/>
      <c r="K23" s="9"/>
      <c r="L23" s="9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">
      <c r="A24" s="9"/>
      <c r="B24" s="67" t="s">
        <v>48</v>
      </c>
      <c r="C24" s="50"/>
      <c r="D24" s="9"/>
      <c r="E24" s="9"/>
      <c r="F24" s="9"/>
      <c r="G24" s="9"/>
      <c r="H24" s="9"/>
      <c r="I24" s="9"/>
      <c r="J24" s="9"/>
      <c r="K24" s="9"/>
      <c r="L24" s="9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9"/>
      <c r="B25" s="51"/>
      <c r="C25" s="52"/>
      <c r="D25" s="9"/>
      <c r="E25" s="9"/>
      <c r="F25" s="9"/>
      <c r="G25" s="9"/>
      <c r="H25" s="9"/>
      <c r="I25" s="9"/>
      <c r="J25" s="9"/>
      <c r="K25" s="9"/>
      <c r="L25" s="9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9"/>
      <c r="B26" s="9"/>
      <c r="C26" s="9"/>
      <c r="D26" s="9"/>
      <c r="E26" s="9"/>
      <c r="F26" s="9"/>
      <c r="G26" s="9"/>
      <c r="H26" s="33"/>
      <c r="I26" s="9"/>
      <c r="J26" s="9"/>
      <c r="K26" s="9"/>
      <c r="L26" s="9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9"/>
      <c r="B27" s="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2"/>
      <c r="B28" s="9"/>
      <c r="C28" s="34" t="s">
        <v>49</v>
      </c>
      <c r="D28" s="34"/>
      <c r="E28" s="34"/>
      <c r="F28" s="34"/>
      <c r="G28" s="34"/>
      <c r="H28" s="34"/>
      <c r="I28" s="34"/>
      <c r="J28" s="34"/>
      <c r="K28" s="34"/>
      <c r="L28" s="34"/>
      <c r="M28" s="9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2"/>
      <c r="B29" s="9"/>
      <c r="C29" s="9"/>
      <c r="D29" s="9"/>
      <c r="E29" s="9"/>
      <c r="F29" s="9"/>
      <c r="G29" s="35"/>
      <c r="H29" s="35"/>
      <c r="I29" s="9"/>
      <c r="J29" s="9"/>
      <c r="K29" s="35"/>
      <c r="L29" s="35"/>
      <c r="M29" s="9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2"/>
      <c r="B30" s="9"/>
      <c r="C30" s="36" t="s">
        <v>50</v>
      </c>
      <c r="D30" s="37" t="s">
        <v>51</v>
      </c>
      <c r="E30" s="9"/>
      <c r="F30" s="9"/>
      <c r="G30" s="35"/>
      <c r="H30" s="35"/>
      <c r="I30" s="9"/>
      <c r="J30" s="9"/>
      <c r="K30" s="35"/>
      <c r="L30" s="35"/>
      <c r="M30" s="9"/>
      <c r="N30" s="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2"/>
      <c r="B31" s="9"/>
      <c r="C31" s="38" t="s">
        <v>52</v>
      </c>
      <c r="D31" s="39">
        <v>1670</v>
      </c>
      <c r="E31" s="9"/>
      <c r="F31" s="9"/>
      <c r="G31" s="35"/>
      <c r="H31" s="35"/>
      <c r="I31" s="9"/>
      <c r="J31" s="9"/>
      <c r="K31" s="35"/>
      <c r="L31" s="35"/>
      <c r="M31" s="9"/>
      <c r="N31" s="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2"/>
      <c r="B32" s="9"/>
      <c r="C32" s="40" t="s">
        <v>53</v>
      </c>
      <c r="D32" s="41">
        <f>(D31*0.1)+D31</f>
        <v>1837</v>
      </c>
      <c r="E32" s="9"/>
      <c r="F32" s="9"/>
      <c r="G32" s="35"/>
      <c r="H32" s="35"/>
      <c r="I32" s="9"/>
      <c r="J32" s="9"/>
      <c r="K32" s="35"/>
      <c r="L32" s="35"/>
      <c r="M32" s="9"/>
      <c r="N32" s="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2"/>
      <c r="B33" s="9"/>
      <c r="C33" s="9"/>
      <c r="D33" s="9"/>
      <c r="E33" s="9"/>
      <c r="F33" s="9"/>
      <c r="G33" s="35"/>
      <c r="H33" s="35"/>
      <c r="I33" s="9"/>
      <c r="J33" s="9"/>
      <c r="K33" s="35"/>
      <c r="L33" s="35"/>
      <c r="M33" s="9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"/>
      <c r="B34" s="9"/>
      <c r="C34" s="36" t="s">
        <v>54</v>
      </c>
      <c r="D34" s="37" t="s">
        <v>51</v>
      </c>
      <c r="E34" s="37" t="s">
        <v>55</v>
      </c>
      <c r="F34" s="37" t="s">
        <v>56</v>
      </c>
      <c r="G34" s="35"/>
      <c r="H34" s="35"/>
      <c r="I34" s="9"/>
      <c r="J34" s="9"/>
      <c r="K34" s="35"/>
      <c r="L34" s="35"/>
      <c r="M34" s="9"/>
      <c r="N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2"/>
      <c r="B35" s="9"/>
      <c r="C35" s="38" t="s">
        <v>52</v>
      </c>
      <c r="D35" s="39">
        <v>1670</v>
      </c>
      <c r="E35" s="42">
        <v>0.09</v>
      </c>
      <c r="F35" s="38">
        <f>D35*E35</f>
        <v>150.29999999999998</v>
      </c>
      <c r="G35" s="35"/>
      <c r="H35" s="35"/>
      <c r="I35" s="9"/>
      <c r="J35" s="9"/>
      <c r="K35" s="35"/>
      <c r="L35" s="35"/>
      <c r="M35" s="9"/>
      <c r="N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2"/>
      <c r="B36" s="9"/>
      <c r="C36" s="40" t="s">
        <v>53</v>
      </c>
      <c r="D36" s="43" t="s">
        <v>57</v>
      </c>
      <c r="E36" s="44">
        <f>IF(E35&lt;0.003,E35+0.002,E35+0.004)</f>
        <v>9.4E-2</v>
      </c>
      <c r="F36" s="40">
        <f>D35*E36</f>
        <v>156.97999999999999</v>
      </c>
      <c r="G36" s="35"/>
      <c r="H36" s="35"/>
      <c r="I36" s="9"/>
      <c r="J36" s="9"/>
      <c r="K36" s="35"/>
      <c r="L36" s="35"/>
      <c r="M36" s="9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2"/>
      <c r="B37" s="9"/>
      <c r="C37" s="9"/>
      <c r="D37" s="9"/>
      <c r="E37" s="9"/>
      <c r="F37" s="9"/>
      <c r="G37" s="35"/>
      <c r="H37" s="35"/>
      <c r="I37" s="9"/>
      <c r="J37" s="9"/>
      <c r="K37" s="35"/>
      <c r="L37" s="35"/>
      <c r="M37" s="9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"/>
      <c r="B38" s="9"/>
      <c r="C38" s="36" t="s">
        <v>58</v>
      </c>
      <c r="D38" s="37" t="s">
        <v>59</v>
      </c>
      <c r="E38" s="37" t="s">
        <v>60</v>
      </c>
      <c r="F38" s="37" t="s">
        <v>61</v>
      </c>
      <c r="G38" s="35"/>
      <c r="H38" s="35"/>
      <c r="I38" s="9"/>
      <c r="J38" s="9"/>
      <c r="K38" s="35"/>
      <c r="L38" s="35"/>
      <c r="M38" s="9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2"/>
      <c r="B39" s="9"/>
      <c r="C39" s="38" t="s">
        <v>52</v>
      </c>
      <c r="D39" s="39">
        <v>14</v>
      </c>
      <c r="E39" s="42"/>
      <c r="F39" s="38">
        <f>D39*E39</f>
        <v>0</v>
      </c>
      <c r="G39" s="35"/>
      <c r="H39" s="35"/>
      <c r="I39" s="9"/>
      <c r="J39" s="9"/>
      <c r="K39" s="35"/>
      <c r="L39" s="35"/>
      <c r="M39" s="9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2"/>
      <c r="B40" s="9"/>
      <c r="C40" s="40" t="s">
        <v>53</v>
      </c>
      <c r="D40" s="43" t="s">
        <v>57</v>
      </c>
      <c r="E40" s="44">
        <f>IF(E39=0,E39+0.003,E39+0.01)</f>
        <v>3.0000000000000001E-3</v>
      </c>
      <c r="F40" s="40">
        <f>D39*E40</f>
        <v>4.2000000000000003E-2</v>
      </c>
      <c r="G40" s="35"/>
      <c r="H40" s="35"/>
      <c r="I40" s="9"/>
      <c r="J40" s="9"/>
      <c r="K40" s="35"/>
      <c r="L40" s="35"/>
      <c r="M40" s="9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9"/>
      <c r="B41" s="9"/>
      <c r="C41" s="9"/>
      <c r="D41" s="9"/>
      <c r="E41" s="9"/>
      <c r="F41" s="35"/>
      <c r="G41" s="35"/>
      <c r="H41" s="9"/>
      <c r="I41" s="9"/>
      <c r="J41" s="35"/>
      <c r="K41" s="35"/>
      <c r="L41" s="9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2">
      <c r="A43" s="9" t="s">
        <v>62</v>
      </c>
      <c r="B43" s="59" t="s">
        <v>63</v>
      </c>
      <c r="C43" s="60"/>
      <c r="D43" s="60"/>
      <c r="E43" s="60"/>
      <c r="F43" s="60"/>
      <c r="G43" s="32"/>
      <c r="H43" s="32"/>
      <c r="I43" s="9"/>
      <c r="J43" s="9"/>
      <c r="K43" s="9"/>
      <c r="L43" s="9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9"/>
      <c r="B44" s="49" t="s">
        <v>64</v>
      </c>
      <c r="C44" s="50"/>
      <c r="D44" s="9"/>
      <c r="E44" s="9"/>
      <c r="F44" s="9"/>
      <c r="G44" s="9"/>
      <c r="H44" s="9"/>
      <c r="I44" s="9"/>
      <c r="J44" s="9"/>
      <c r="K44" s="9"/>
      <c r="L44" s="9"/>
      <c r="M44" s="2"/>
      <c r="N44" s="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9"/>
      <c r="B45" s="51"/>
      <c r="C45" s="52"/>
      <c r="D45" s="9"/>
      <c r="E45" s="33"/>
      <c r="F45" s="9"/>
      <c r="G45" s="9"/>
      <c r="H45" s="9"/>
      <c r="I45" s="9"/>
      <c r="J45" s="9"/>
      <c r="K45" s="9"/>
      <c r="L45" s="9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2">
      <c r="A47" s="9" t="s">
        <v>65</v>
      </c>
      <c r="B47" s="59" t="s">
        <v>66</v>
      </c>
      <c r="C47" s="60"/>
      <c r="D47" s="60"/>
      <c r="E47" s="60"/>
      <c r="F47" s="60"/>
      <c r="G47" s="60"/>
      <c r="H47" s="32"/>
      <c r="I47" s="9"/>
      <c r="J47" s="9"/>
      <c r="K47" s="9"/>
      <c r="L47" s="9"/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 x14ac:dyDescent="0.2">
      <c r="A48" s="9"/>
      <c r="B48" s="61" t="s">
        <v>67</v>
      </c>
      <c r="C48" s="58"/>
      <c r="D48" s="45"/>
      <c r="E48" s="45"/>
      <c r="F48" s="46"/>
      <c r="G48" s="46"/>
      <c r="H48" s="32"/>
      <c r="I48" s="9"/>
      <c r="J48" s="9"/>
      <c r="K48" s="9"/>
      <c r="L48" s="9"/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9"/>
      <c r="B49" s="49" t="s">
        <v>68</v>
      </c>
      <c r="C49" s="50"/>
      <c r="D49" s="9"/>
      <c r="E49" s="9"/>
      <c r="F49" s="9"/>
      <c r="G49" s="9"/>
      <c r="H49" s="9"/>
      <c r="I49" s="9"/>
      <c r="J49" s="9"/>
      <c r="K49" s="9"/>
      <c r="L49" s="9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9"/>
      <c r="B50" s="51"/>
      <c r="C50" s="52"/>
      <c r="D50" s="9"/>
      <c r="E50" s="33"/>
      <c r="F50" s="9"/>
      <c r="G50" s="9"/>
      <c r="H50" s="9"/>
      <c r="I50" s="9"/>
      <c r="J50" s="9"/>
      <c r="K50" s="9"/>
      <c r="L50" s="9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9"/>
      <c r="B51" s="47"/>
      <c r="C51" s="47"/>
      <c r="D51" s="9"/>
      <c r="E51" s="9"/>
      <c r="F51" s="9"/>
      <c r="G51" s="9"/>
      <c r="H51" s="9"/>
      <c r="I51" s="9"/>
      <c r="J51" s="9"/>
      <c r="K51" s="9"/>
      <c r="L51" s="9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9" t="s">
        <v>69</v>
      </c>
      <c r="B53" s="59" t="s">
        <v>70</v>
      </c>
      <c r="C53" s="60"/>
      <c r="D53" s="60"/>
      <c r="E53" s="60"/>
      <c r="F53" s="60"/>
      <c r="G53" s="60"/>
      <c r="H53" s="60"/>
      <c r="I53" s="9"/>
      <c r="J53" s="9"/>
      <c r="K53" s="9"/>
      <c r="L53" s="9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9"/>
      <c r="B54" s="53" t="s">
        <v>71</v>
      </c>
      <c r="C54" s="54"/>
      <c r="D54" s="50"/>
      <c r="E54" s="30"/>
      <c r="F54" s="30"/>
      <c r="G54" s="9"/>
      <c r="H54" s="9"/>
      <c r="I54" s="9"/>
      <c r="J54" s="9"/>
      <c r="K54" s="9"/>
      <c r="L54" s="9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9"/>
      <c r="B55" s="55"/>
      <c r="C55" s="56"/>
      <c r="D55" s="57"/>
      <c r="E55" s="30"/>
      <c r="F55" s="30"/>
      <c r="G55" s="9"/>
      <c r="H55" s="9"/>
      <c r="I55" s="9"/>
      <c r="J55" s="9"/>
      <c r="K55" s="9"/>
      <c r="L55" s="9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9"/>
      <c r="B56" s="55"/>
      <c r="C56" s="56"/>
      <c r="D56" s="57"/>
      <c r="E56" s="30"/>
      <c r="F56" s="30"/>
      <c r="G56" s="9"/>
      <c r="H56" s="9"/>
      <c r="I56" s="9"/>
      <c r="J56" s="9"/>
      <c r="K56" s="9"/>
      <c r="L56" s="9"/>
      <c r="M56" s="2"/>
      <c r="N56" s="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9"/>
      <c r="B57" s="51"/>
      <c r="C57" s="58"/>
      <c r="D57" s="52"/>
      <c r="E57" s="30"/>
      <c r="F57" s="30"/>
      <c r="G57" s="9"/>
      <c r="H57" s="9"/>
      <c r="I57" s="9"/>
      <c r="J57" s="9"/>
      <c r="K57" s="9"/>
      <c r="L57" s="9"/>
      <c r="M57" s="2"/>
      <c r="N57" s="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2"/>
      <c r="N58" s="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3.25" customHeight="1" x14ac:dyDescent="0.25">
      <c r="A61" s="48" t="s">
        <v>72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">
    <mergeCell ref="B43:F43"/>
    <mergeCell ref="F5:G5"/>
    <mergeCell ref="A1:G4"/>
    <mergeCell ref="B6:C6"/>
    <mergeCell ref="B23:G23"/>
    <mergeCell ref="B24:C25"/>
    <mergeCell ref="B13:E13"/>
    <mergeCell ref="B14:E17"/>
    <mergeCell ref="B19:H19"/>
    <mergeCell ref="B20:D21"/>
    <mergeCell ref="B7:C7"/>
    <mergeCell ref="B8:C8"/>
    <mergeCell ref="A11:D11"/>
    <mergeCell ref="F6:G10"/>
    <mergeCell ref="B49:C50"/>
    <mergeCell ref="B54:D57"/>
    <mergeCell ref="B53:H53"/>
    <mergeCell ref="B48:C48"/>
    <mergeCell ref="B44:C45"/>
    <mergeCell ref="B47:G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 your campaign</vt:lpstr>
      <vt:lpstr>Goals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2016-07-27T14:28:49Z</dcterms:created>
  <dcterms:modified xsi:type="dcterms:W3CDTF">2016-07-27T14:28:49Z</dcterms:modified>
</cp:coreProperties>
</file>